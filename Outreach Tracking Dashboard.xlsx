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<sst xmlns="http://schemas.openxmlformats.org/spreadsheetml/2006/main" count="119" uniqueCount="102">
  <si>
    <t>Community Donation Outreach Automation Case Study</t>
  </si>
  <si>
    <r>
      <rPr>
        <rFont val="Arial"/>
        <b/>
        <color theme="1"/>
        <sz val="10.0"/>
        <u/>
      </rPr>
      <t>Manual Ops Baseline:</t>
    </r>
    <r>
      <rPr>
        <rFont val="Arial"/>
        <color theme="1"/>
        <sz val="10.0"/>
        <u/>
      </rPr>
      <t xml:space="preserve">
3m 30s avg sourcing time per lead
4m 48s avg qualification time per lead
8m 18s per lead before outreach</t>
    </r>
  </si>
  <si>
    <r>
      <rPr>
        <rFont val="Arial"/>
        <b/>
        <color theme="1"/>
      </rPr>
      <t>Strategy filtering criteria:</t>
    </r>
    <r>
      <rPr>
        <rFont val="Arial"/>
        <color theme="1"/>
      </rPr>
      <t xml:space="preserve">
- Targeting small to mid sized, community active churches 
with existing outreach programs, as they are more likely to 
partner in donation based activities</t>
    </r>
  </si>
  <si>
    <t>#</t>
  </si>
  <si>
    <t>Org Name</t>
  </si>
  <si>
    <t>Address</t>
  </si>
  <si>
    <t>State</t>
  </si>
  <si>
    <t>Website</t>
  </si>
  <si>
    <t>Contact email</t>
  </si>
  <si>
    <t>Phone</t>
  </si>
  <si>
    <t>Social links</t>
  </si>
  <si>
    <t>Staff/Email listed</t>
  </si>
  <si>
    <t xml:space="preserve">Active social (30days) </t>
  </si>
  <si>
    <t>Event calendar active</t>
  </si>
  <si>
    <t>Outreach/service page</t>
  </si>
  <si>
    <t>Multiple service times</t>
  </si>
  <si>
    <t>Qualification Score</t>
  </si>
  <si>
    <t>Qualification Tier</t>
  </si>
  <si>
    <t>Outreach Sent Date</t>
  </si>
  <si>
    <t>Time for Draft + Personalization (min)</t>
  </si>
  <si>
    <t>Follow up 1 Date</t>
  </si>
  <si>
    <t>Follow up 2 Date</t>
  </si>
  <si>
    <t>Responded (1/0)</t>
  </si>
  <si>
    <t>Positive Response (1/0)</t>
  </si>
  <si>
    <t>Booked Call (1/0)</t>
  </si>
  <si>
    <t>Call Scheduled Date</t>
  </si>
  <si>
    <t>AI Assisted</t>
  </si>
  <si>
    <t>Draft + Personalization Time</t>
  </si>
  <si>
    <t>Rose Hill Baptist Church</t>
  </si>
  <si>
    <t>4905 Franconia Rd Alexandria VA</t>
  </si>
  <si>
    <t>Va</t>
  </si>
  <si>
    <t>https://www.rhbaptist.com/about#connect</t>
  </si>
  <si>
    <t>contact@rhbaptist.net</t>
  </si>
  <si>
    <t>https://www.facebook.com/rhbaptist
https://www.instagram.com/summitchurchdc</t>
  </si>
  <si>
    <t>3.3.</t>
  </si>
  <si>
    <t>8m 12s</t>
  </si>
  <si>
    <t>Summit Church</t>
  </si>
  <si>
    <t>7719 Fullerton Rd Springfield VA</t>
  </si>
  <si>
    <t>https://www.summitchurchdc.com/contact</t>
  </si>
  <si>
    <t>N/A</t>
  </si>
  <si>
    <t>7m 30s</t>
  </si>
  <si>
    <t>New Life Open Bible</t>
  </si>
  <si>
    <t>6434 Franconia Rd Springfield VA</t>
  </si>
  <si>
    <t>https://nlob.org/</t>
  </si>
  <si>
    <t>NewLife@NLOB.org</t>
  </si>
  <si>
    <t>https://www.facebook.com/NewLifeNLOB
https://www.instagram.com/newlifeopenbiblechurch/</t>
  </si>
  <si>
    <t>7m 55s</t>
  </si>
  <si>
    <t>Fil-Am Community Church</t>
  </si>
  <si>
    <t>8304 Old Keene Mill Rd Springfield VA</t>
  </si>
  <si>
    <t>https://www.filamcommunitychurch.org/</t>
  </si>
  <si>
    <t>filamcommunitychurch@gmail.com</t>
  </si>
  <si>
    <t>https://www.facebook.com/profile.php?id=100064738926843#</t>
  </si>
  <si>
    <t>6m 58s</t>
  </si>
  <si>
    <t>Word of Life Church</t>
  </si>
  <si>
    <t>5225 Backlick Rd Springfield VA</t>
  </si>
  <si>
    <t>https://www.wolag.org/</t>
  </si>
  <si>
    <t>info@wolag.org</t>
  </si>
  <si>
    <t>https://www.facebook.com/wordoflifechurchva
https://www.instagram.com/wordoflifechurchva</t>
  </si>
  <si>
    <t>8m 05s</t>
  </si>
  <si>
    <t>Washington Community Fellowship</t>
  </si>
  <si>
    <t>907 Maryland Ave NE Washington DC</t>
  </si>
  <si>
    <t>Dc</t>
  </si>
  <si>
    <t>wcfchurch.org</t>
  </si>
  <si>
    <t>office@wcfchurch.org</t>
  </si>
  <si>
    <t>https://www.facebook.com/wcfchurchdc
https://www.instagram.com/wcfchurchdc</t>
  </si>
  <si>
    <t>7m 40s</t>
  </si>
  <si>
    <t>Union City Church</t>
  </si>
  <si>
    <t>1611 16th St NW DC</t>
  </si>
  <si>
    <t>https://www.unioncitydc.church/</t>
  </si>
  <si>
    <t>info@unioncitydc.church</t>
  </si>
  <si>
    <t>https://www.facebook.com/unioncitydc
https://www.instagram.com/unioncitydc/</t>
  </si>
  <si>
    <t>8m 20s</t>
  </si>
  <si>
    <t>Passion City Church</t>
  </si>
  <si>
    <t>1215 U St NW DC</t>
  </si>
  <si>
    <t>https://passioncitychurch.com/dc/</t>
  </si>
  <si>
    <t>https://www.facebook.com/passioncitydc
https://www.instagram.com/passioncitydc/</t>
  </si>
  <si>
    <t>7m 10s</t>
  </si>
  <si>
    <t>Metropolitan Community Church of DC</t>
  </si>
  <si>
    <t>474 Ridge St NW DC</t>
  </si>
  <si>
    <t>https://mccdc.com/contact-us/</t>
  </si>
  <si>
    <t>churchoffice@mccdc.com</t>
  </si>
  <si>
    <t>https://www.facebook.com/MCC.Washington/
https://www.instagram.com/mccdcgram/</t>
  </si>
  <si>
    <t>7m 50s</t>
  </si>
  <si>
    <t>Kings Church DC</t>
  </si>
  <si>
    <t>1317 K St NW DC</t>
  </si>
  <si>
    <t>https://www.kingschurchdc.com/</t>
  </si>
  <si>
    <t>info@kingschurchdc.com</t>
  </si>
  <si>
    <t>https://www.facebook.com/kingschurchdc/
https://www.instagram.com/kingschurchdc/</t>
  </si>
  <si>
    <t xml:space="preserve">Manual Workflow: </t>
  </si>
  <si>
    <t>7ms 48s/lead</t>
  </si>
  <si>
    <t>Christ Our Shepherd Church</t>
  </si>
  <si>
    <t>https://christourshepherd.org/</t>
  </si>
  <si>
    <t xml:space="preserve">AI Assisted: </t>
  </si>
  <si>
    <t>4m 13s/lead</t>
  </si>
  <si>
    <t>The Church in Washington DC</t>
  </si>
  <si>
    <t>https://churchindc.org/</t>
  </si>
  <si>
    <t>The District Church</t>
  </si>
  <si>
    <t>https://districtchurch.org/</t>
  </si>
  <si>
    <t>New Community Church</t>
  </si>
  <si>
    <t>https://www.newcommunitychurchdc.org/</t>
  </si>
  <si>
    <t>Waterfront Church</t>
  </si>
  <si>
    <t>https://www.waterfrontchurchdc.com/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</si>
</sst>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i/>
      <sz val="20.0"/>
      <color theme="1"/>
      <name val="Arial"/>
      <scheme val="minor"/>
    </font>
    <font>
      <color theme="1"/>
      <name val="Arial"/>
      <scheme val="minor"/>
    </font>
    <font>
      <u/>
      <sz val="10.0"/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1155CC"/>
    </font>
    <font>
      <u/>
      <color rgb="FF0000FF"/>
    </font>
    <font>
      <u/>
      <color rgb="FF0000FF"/>
    </font>
    <font>
      <u/>
      <color rgb="FF1155CC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1155CC"/>
    </font>
    <font>
      <u/>
      <color rgb="FF1155CC"/>
      <name val="Arial"/>
      <scheme val="minor"/>
    </font>
    <font>
      <u/>
      <color rgb="FF0000FF"/>
    </font>
    <font>
      <u/>
      <color rgb="FF0000FF"/>
    </font>
    <font>
      <u/>
      <sz val="15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A2C4C9"/>
        <bgColor rgb="FFA2C4C9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3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vertical="top"/>
    </xf>
    <xf borderId="0" fillId="0" fontId="3" numFmtId="0" xfId="0" applyAlignment="1" applyFont="1">
      <alignment horizontal="left" vertical="top"/>
    </xf>
    <xf borderId="0" fillId="0" fontId="4" numFmtId="0" xfId="0" applyAlignment="1" applyFont="1">
      <alignment readingOrder="0" vertical="top"/>
    </xf>
    <xf borderId="0" fillId="0" fontId="3" numFmtId="0" xfId="0" applyAlignment="1" applyFont="1">
      <alignment readingOrder="0" vertical="top"/>
    </xf>
    <xf borderId="1" fillId="2" fontId="5" numFmtId="0" xfId="0" applyAlignment="1" applyBorder="1" applyFill="1" applyFont="1">
      <alignment readingOrder="0"/>
    </xf>
    <xf borderId="2" fillId="2" fontId="5" numFmtId="0" xfId="0" applyAlignment="1" applyBorder="1" applyFont="1">
      <alignment readingOrder="0"/>
    </xf>
    <xf borderId="2" fillId="3" fontId="5" numFmtId="0" xfId="0" applyAlignment="1" applyBorder="1" applyFill="1" applyFont="1">
      <alignment readingOrder="0"/>
    </xf>
    <xf borderId="2" fillId="3" fontId="5" numFmtId="0" xfId="0" applyAlignment="1" applyBorder="1" applyFont="1">
      <alignment readingOrder="0" shrinkToFit="0" wrapText="0"/>
    </xf>
    <xf borderId="2" fillId="4" fontId="5" numFmtId="0" xfId="0" applyAlignment="1" applyBorder="1" applyFill="1" applyFont="1">
      <alignment readingOrder="0"/>
    </xf>
    <xf borderId="2" fillId="4" fontId="5" numFmtId="0" xfId="0" applyAlignment="1" applyBorder="1" applyFont="1">
      <alignment readingOrder="0" shrinkToFit="0" wrapText="0"/>
    </xf>
    <xf borderId="2" fillId="5" fontId="5" numFmtId="0" xfId="0" applyAlignment="1" applyBorder="1" applyFill="1" applyFont="1">
      <alignment readingOrder="0" shrinkToFit="0" wrapText="0"/>
    </xf>
    <xf borderId="2" fillId="6" fontId="3" numFmtId="0" xfId="0" applyAlignment="1" applyBorder="1" applyFill="1" applyFont="1">
      <alignment readingOrder="0" shrinkToFit="0" wrapText="0"/>
    </xf>
    <xf borderId="2" fillId="6" fontId="6" numFmtId="0" xfId="0" applyAlignment="1" applyBorder="1" applyFont="1">
      <alignment readingOrder="0" shrinkToFit="0" wrapText="0"/>
    </xf>
    <xf borderId="2" fillId="6" fontId="7" numFmtId="0" xfId="0" applyAlignment="1" applyBorder="1" applyFont="1">
      <alignment readingOrder="0" shrinkToFit="0" wrapText="0"/>
    </xf>
    <xf borderId="2" fillId="7" fontId="3" numFmtId="0" xfId="0" applyAlignment="1" applyBorder="1" applyFill="1" applyFont="1">
      <alignment horizontal="center" readingOrder="0" shrinkToFit="0" wrapText="0"/>
    </xf>
    <xf borderId="2" fillId="7" fontId="3" numFmtId="0" xfId="0" applyAlignment="1" applyBorder="1" applyFont="1">
      <alignment horizontal="center" readingOrder="0" shrinkToFit="0" wrapText="0"/>
    </xf>
    <xf borderId="2" fillId="7" fontId="3" numFmtId="0" xfId="0" applyAlignment="1" applyBorder="1" applyFont="1">
      <alignment horizontal="center" readingOrder="0"/>
    </xf>
    <xf borderId="2" fillId="7" fontId="3" numFmtId="0" xfId="0" applyBorder="1" applyFont="1"/>
    <xf borderId="2" fillId="8" fontId="3" numFmtId="0" xfId="0" applyAlignment="1" applyBorder="1" applyFill="1" applyFont="1">
      <alignment horizontal="center" readingOrder="0"/>
    </xf>
    <xf borderId="2" fillId="8" fontId="3" numFmtId="0" xfId="0" applyAlignment="1" applyBorder="1" applyFont="1">
      <alignment horizontal="center"/>
    </xf>
    <xf borderId="2" fillId="8" fontId="3" numFmtId="0" xfId="0" applyBorder="1" applyFont="1"/>
    <xf borderId="2" fillId="9" fontId="3" numFmtId="0" xfId="0" applyBorder="1" applyFill="1" applyFont="1"/>
    <xf borderId="2" fillId="9" fontId="3" numFmtId="0" xfId="0" applyAlignment="1" applyBorder="1" applyFont="1">
      <alignment shrinkToFit="0" wrapText="0"/>
    </xf>
    <xf borderId="2" fillId="0" fontId="3" numFmtId="0" xfId="0" applyAlignment="1" applyBorder="1" applyFont="1">
      <alignment readingOrder="0" shrinkToFit="0" wrapText="0"/>
    </xf>
    <xf borderId="2" fillId="0" fontId="8" numFmtId="0" xfId="0" applyAlignment="1" applyBorder="1" applyFont="1">
      <alignment readingOrder="0" shrinkToFit="0" wrapText="0"/>
    </xf>
    <xf borderId="2" fillId="0" fontId="3" numFmtId="0" xfId="0" applyAlignment="1" applyBorder="1" applyFont="1">
      <alignment horizontal="center" readingOrder="0" shrinkToFit="0" wrapText="0"/>
    </xf>
    <xf borderId="2" fillId="0" fontId="3" numFmtId="0" xfId="0" applyAlignment="1" applyBorder="1" applyFont="1">
      <alignment horizontal="center"/>
    </xf>
    <xf borderId="2" fillId="0" fontId="3" numFmtId="0" xfId="0" applyAlignment="1" applyBorder="1" applyFont="1">
      <alignment readingOrder="0"/>
    </xf>
    <xf borderId="2" fillId="0" fontId="3" numFmtId="0" xfId="0" applyAlignment="1" applyBorder="1" applyFont="1">
      <alignment horizontal="center" readingOrder="0"/>
    </xf>
    <xf borderId="2" fillId="0" fontId="3" numFmtId="0" xfId="0" applyBorder="1" applyFont="1"/>
    <xf borderId="2" fillId="0" fontId="3" numFmtId="0" xfId="0" applyAlignment="1" applyBorder="1" applyFont="1">
      <alignment shrinkToFit="0" wrapText="0"/>
    </xf>
    <xf borderId="0" fillId="6" fontId="9" numFmtId="0" xfId="0" applyAlignment="1" applyFont="1">
      <alignment readingOrder="0"/>
    </xf>
    <xf borderId="2" fillId="7" fontId="10" numFmtId="0" xfId="0" applyAlignment="1" applyBorder="1" applyFont="1">
      <alignment horizontal="center" readingOrder="0" shrinkToFit="0" wrapText="0"/>
    </xf>
    <xf borderId="2" fillId="7" fontId="3" numFmtId="0" xfId="0" applyAlignment="1" applyBorder="1" applyFont="1">
      <alignment horizontal="center"/>
    </xf>
    <xf borderId="0" fillId="0" fontId="11" numFmtId="0" xfId="0" applyAlignment="1" applyFont="1">
      <alignment readingOrder="0"/>
    </xf>
    <xf borderId="2" fillId="0" fontId="12" numFmtId="0" xfId="0" applyAlignment="1" applyBorder="1" applyFont="1">
      <alignment readingOrder="0" shrinkToFit="0" wrapText="0"/>
    </xf>
    <xf borderId="2" fillId="0" fontId="3" numFmtId="0" xfId="0" applyAlignment="1" applyBorder="1" applyFont="1">
      <alignment horizontal="center" readingOrder="0" shrinkToFit="0" wrapText="0"/>
    </xf>
    <xf borderId="2" fillId="0" fontId="13" numFmtId="0" xfId="0" applyAlignment="1" applyBorder="1" applyFont="1">
      <alignment readingOrder="0"/>
    </xf>
    <xf borderId="2" fillId="0" fontId="14" numFmtId="0" xfId="0" applyAlignment="1" applyBorder="1" applyFont="1">
      <alignment readingOrder="0" shrinkToFit="0" wrapText="0"/>
    </xf>
    <xf borderId="2" fillId="0" fontId="15" numFmtId="0" xfId="0" applyAlignment="1" applyBorder="1" applyFont="1">
      <alignment horizontal="center" readingOrder="0" shrinkToFit="0" wrapText="0"/>
    </xf>
    <xf borderId="2" fillId="6" fontId="16" numFmtId="0" xfId="0" applyAlignment="1" applyBorder="1" applyFont="1">
      <alignment readingOrder="0" shrinkToFit="0" wrapText="0"/>
    </xf>
    <xf borderId="2" fillId="7" fontId="3" numFmtId="0" xfId="0" applyAlignment="1" applyBorder="1" applyFont="1">
      <alignment readingOrder="0"/>
    </xf>
    <xf borderId="2" fillId="6" fontId="17" numFmtId="0" xfId="0" applyAlignment="1" applyBorder="1" applyFont="1">
      <alignment readingOrder="0"/>
    </xf>
    <xf borderId="2" fillId="6" fontId="3" numFmtId="0" xfId="0" applyAlignment="1" applyBorder="1" applyFont="1">
      <alignment readingOrder="0"/>
    </xf>
    <xf borderId="2" fillId="6" fontId="3" numFmtId="0" xfId="0" applyAlignment="1" applyBorder="1" applyFont="1">
      <alignment shrinkToFit="0" wrapText="0"/>
    </xf>
    <xf borderId="2" fillId="7" fontId="3" numFmtId="0" xfId="0" applyAlignment="1" applyBorder="1" applyFont="1">
      <alignment shrinkToFit="0" wrapText="0"/>
    </xf>
    <xf borderId="2" fillId="8" fontId="5" numFmtId="0" xfId="0" applyAlignment="1" applyBorder="1" applyFont="1">
      <alignment readingOrder="0" shrinkToFit="0" wrapText="0"/>
    </xf>
    <xf borderId="2" fillId="8" fontId="3" numFmtId="0" xfId="0" applyAlignment="1" applyBorder="1" applyFont="1">
      <alignment shrinkToFit="0" wrapText="0"/>
    </xf>
    <xf borderId="2" fillId="9" fontId="3" numFmtId="0" xfId="0" applyAlignment="1" applyBorder="1" applyFont="1">
      <alignment readingOrder="0" shrinkToFit="0" wrapText="0"/>
    </xf>
    <xf borderId="0" fillId="0" fontId="3" numFmtId="0" xfId="0" applyAlignment="1" applyFont="1">
      <alignment shrinkToFit="0" wrapText="0"/>
    </xf>
    <xf borderId="2" fillId="8" fontId="3" numFmtId="0" xfId="0" applyAlignment="1" applyBorder="1" applyFont="1">
      <alignment readingOrder="0" shrinkToFit="0" wrapText="0"/>
    </xf>
    <xf borderId="0" fillId="0" fontId="1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churchoffice@mccdc.com" TargetMode="External"/><Relationship Id="rId22" Type="http://schemas.openxmlformats.org/officeDocument/2006/relationships/hyperlink" Target="https://www.kingschurchdc.com/" TargetMode="External"/><Relationship Id="rId21" Type="http://schemas.openxmlformats.org/officeDocument/2006/relationships/hyperlink" Target="https://www.facebook.com/MCC.Washington/" TargetMode="External"/><Relationship Id="rId24" Type="http://schemas.openxmlformats.org/officeDocument/2006/relationships/hyperlink" Target="https://www.facebook.com/kingschurchdc/" TargetMode="External"/><Relationship Id="rId23" Type="http://schemas.openxmlformats.org/officeDocument/2006/relationships/hyperlink" Target="mailto:info@kingschurchdc.com" TargetMode="External"/><Relationship Id="rId1" Type="http://schemas.openxmlformats.org/officeDocument/2006/relationships/hyperlink" Target="https://www.rhbaptist.com/about" TargetMode="External"/><Relationship Id="rId2" Type="http://schemas.openxmlformats.org/officeDocument/2006/relationships/hyperlink" Target="https://www.facebook.com/rhbaptist" TargetMode="External"/><Relationship Id="rId3" Type="http://schemas.openxmlformats.org/officeDocument/2006/relationships/hyperlink" Target="https://www.summitchurchdc.com/contact" TargetMode="External"/><Relationship Id="rId4" Type="http://schemas.openxmlformats.org/officeDocument/2006/relationships/hyperlink" Target="https://nlob.org/" TargetMode="External"/><Relationship Id="rId9" Type="http://schemas.openxmlformats.org/officeDocument/2006/relationships/hyperlink" Target="https://www.facebook.com/profile.php?id=100064738926843" TargetMode="External"/><Relationship Id="rId26" Type="http://schemas.openxmlformats.org/officeDocument/2006/relationships/hyperlink" Target="https://churchindc.org/" TargetMode="External"/><Relationship Id="rId25" Type="http://schemas.openxmlformats.org/officeDocument/2006/relationships/hyperlink" Target="https://christourshepherd.org/" TargetMode="External"/><Relationship Id="rId28" Type="http://schemas.openxmlformats.org/officeDocument/2006/relationships/hyperlink" Target="https://www.newcommunitychurchdc.org/" TargetMode="External"/><Relationship Id="rId27" Type="http://schemas.openxmlformats.org/officeDocument/2006/relationships/hyperlink" Target="https://districtchurch.org/" TargetMode="External"/><Relationship Id="rId5" Type="http://schemas.openxmlformats.org/officeDocument/2006/relationships/hyperlink" Target="mailto:NewLife@NLOB.org" TargetMode="External"/><Relationship Id="rId6" Type="http://schemas.openxmlformats.org/officeDocument/2006/relationships/hyperlink" Target="https://www.facebook.com/NewLifeNLOB" TargetMode="External"/><Relationship Id="rId29" Type="http://schemas.openxmlformats.org/officeDocument/2006/relationships/hyperlink" Target="https://www.waterfrontchurchdc.com/" TargetMode="External"/><Relationship Id="rId7" Type="http://schemas.openxmlformats.org/officeDocument/2006/relationships/hyperlink" Target="https://www.filamcommunitychurch.org/" TargetMode="External"/><Relationship Id="rId8" Type="http://schemas.openxmlformats.org/officeDocument/2006/relationships/hyperlink" Target="mailto:filamcommunitychurch@gmail.com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www.facebook.com/wordoflifechurchva" TargetMode="External"/><Relationship Id="rId10" Type="http://schemas.openxmlformats.org/officeDocument/2006/relationships/hyperlink" Target="https://www.wolag.org/" TargetMode="External"/><Relationship Id="rId13" Type="http://schemas.openxmlformats.org/officeDocument/2006/relationships/hyperlink" Target="mailto:office@wcfchurch.org" TargetMode="External"/><Relationship Id="rId12" Type="http://schemas.openxmlformats.org/officeDocument/2006/relationships/hyperlink" Target="https://l.facebook.com/l.php?u=http%3A%2F%2Fwww.wcfchurch.org%2F%3Ffbclid%3DIwZXh0bgNhZW0CMTAAYnJpZBExUzdZOGJzTGNCS1VpUjg3cXNydGMGYXBwX2lkEDIyMjAzOTE3ODgyMDA4OTIAAR4bSjO3Bf19gk8AKC-CzRAj4JQFKBa_zuGsDqZ6rQYgdrjt_fp3SSvbzIAfqg_aem_uhO0says7suiVr9TqdJ1SQ&amp;h=AT5nuGhvKxVA7ONRf7hSRcMhUQQK7S5UliNgc5qu4Vh0AdSWcrWbWULZVf662oH6Jj2pdSHAUNdd_2OmotYNTbOAKRejUlScTJQnflnNLIQfJNpboQT2WrlwkltPe4hFnMwGsNVj5g" TargetMode="External"/><Relationship Id="rId15" Type="http://schemas.openxmlformats.org/officeDocument/2006/relationships/hyperlink" Target="https://www.unioncitydc.church/" TargetMode="External"/><Relationship Id="rId14" Type="http://schemas.openxmlformats.org/officeDocument/2006/relationships/hyperlink" Target="https://www.facebook.com/wcfchurchdc" TargetMode="External"/><Relationship Id="rId17" Type="http://schemas.openxmlformats.org/officeDocument/2006/relationships/hyperlink" Target="https://passioncitychurch.com/dc/" TargetMode="External"/><Relationship Id="rId16" Type="http://schemas.openxmlformats.org/officeDocument/2006/relationships/hyperlink" Target="https://www.facebook.com/unioncitydc" TargetMode="External"/><Relationship Id="rId19" Type="http://schemas.openxmlformats.org/officeDocument/2006/relationships/hyperlink" Target="https://mccdc.com/contact-us/" TargetMode="External"/><Relationship Id="rId18" Type="http://schemas.openxmlformats.org/officeDocument/2006/relationships/hyperlink" Target="https://www.facebook.com/passioncityd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9.25"/>
    <col customWidth="1" min="3" max="3" width="7.13"/>
    <col customWidth="1" min="4" max="4" width="4.63"/>
    <col customWidth="1" min="5" max="5" width="7.25"/>
    <col customWidth="1" min="6" max="6" width="6.88"/>
    <col customWidth="1" min="7" max="7" width="6.5"/>
    <col customWidth="1" min="9" max="9" width="6.38"/>
    <col customWidth="1" min="10" max="10" width="7.0"/>
    <col customWidth="1" min="11" max="11" width="7.5"/>
    <col customWidth="1" min="12" max="12" width="7.25"/>
    <col customWidth="1" min="13" max="13" width="6.88"/>
    <col customWidth="1" min="14" max="14" width="4.88"/>
    <col customWidth="1" min="15" max="15" width="6.63"/>
    <col customWidth="1" min="16" max="16" width="15.38"/>
    <col customWidth="1" min="17" max="17" width="11.25"/>
    <col customWidth="1" min="18" max="18" width="5.75"/>
    <col customWidth="1" min="19" max="19" width="4.38"/>
    <col customWidth="1" min="20" max="20" width="2.88"/>
    <col customWidth="1" min="21" max="21" width="3.5"/>
    <col customWidth="1" min="22" max="22" width="3.75"/>
    <col customWidth="1" min="23" max="23" width="4.25"/>
  </cols>
  <sheetData>
    <row r="1">
      <c r="A1" s="1" t="s">
        <v>0</v>
      </c>
    </row>
    <row r="2">
      <c r="A2" s="2"/>
      <c r="B2" s="3"/>
      <c r="C2" s="3"/>
      <c r="D2" s="3"/>
      <c r="E2" s="3"/>
    </row>
    <row r="3">
      <c r="A3" s="4" t="s">
        <v>1</v>
      </c>
      <c r="B3" s="3"/>
      <c r="C3" s="3"/>
      <c r="D3" s="5" t="s">
        <v>2</v>
      </c>
    </row>
    <row r="6">
      <c r="A6" s="6" t="s">
        <v>3</v>
      </c>
      <c r="B6" s="6" t="s">
        <v>4</v>
      </c>
      <c r="C6" s="6" t="s">
        <v>5</v>
      </c>
      <c r="D6" s="6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9" t="s">
        <v>17</v>
      </c>
      <c r="P6" s="10" t="s">
        <v>18</v>
      </c>
      <c r="Q6" s="10" t="s">
        <v>19</v>
      </c>
      <c r="R6" s="10" t="s">
        <v>20</v>
      </c>
      <c r="S6" s="10" t="s">
        <v>21</v>
      </c>
      <c r="T6" s="10" t="s">
        <v>22</v>
      </c>
      <c r="U6" s="10" t="s">
        <v>23</v>
      </c>
      <c r="V6" s="10" t="s">
        <v>24</v>
      </c>
      <c r="W6" s="11" t="s">
        <v>25</v>
      </c>
      <c r="X6" s="12" t="s">
        <v>26</v>
      </c>
      <c r="Y6" s="12" t="s">
        <v>27</v>
      </c>
    </row>
    <row r="7">
      <c r="A7" s="13">
        <v>1.0</v>
      </c>
      <c r="B7" s="13" t="s">
        <v>28</v>
      </c>
      <c r="C7" s="13" t="s">
        <v>29</v>
      </c>
      <c r="D7" s="13" t="s">
        <v>30</v>
      </c>
      <c r="E7" s="14" t="s">
        <v>31</v>
      </c>
      <c r="F7" s="13" t="s">
        <v>32</v>
      </c>
      <c r="G7" s="13">
        <v>7.039713377E9</v>
      </c>
      <c r="H7" s="15" t="s">
        <v>33</v>
      </c>
      <c r="I7" s="16">
        <v>1.0</v>
      </c>
      <c r="J7" s="17">
        <v>1.0</v>
      </c>
      <c r="K7" s="17">
        <v>1.0</v>
      </c>
      <c r="L7" s="17">
        <v>0.0</v>
      </c>
      <c r="M7" s="18">
        <v>1.0</v>
      </c>
      <c r="N7" s="18">
        <f t="shared" ref="N7:N16" si="1">sum(I7:M7)</f>
        <v>4</v>
      </c>
      <c r="O7" s="19" t="str">
        <f t="shared" ref="O7:O8" si="2">IF(N7&gt;=3,"Qualified",IF(N7&gt;=1,"Low Probability","Skip"))</f>
        <v>Qualified</v>
      </c>
      <c r="P7" s="20" t="s">
        <v>34</v>
      </c>
      <c r="Q7" s="20" t="s">
        <v>35</v>
      </c>
      <c r="R7" s="21"/>
      <c r="S7" s="21"/>
      <c r="T7" s="21"/>
      <c r="U7" s="21"/>
      <c r="V7" s="21"/>
      <c r="W7" s="22"/>
      <c r="X7" s="23"/>
      <c r="Y7" s="24"/>
    </row>
    <row r="8">
      <c r="A8" s="25">
        <v>2.0</v>
      </c>
      <c r="B8" s="25" t="s">
        <v>36</v>
      </c>
      <c r="C8" s="25" t="s">
        <v>37</v>
      </c>
      <c r="D8" s="25" t="s">
        <v>30</v>
      </c>
      <c r="E8" s="26" t="s">
        <v>38</v>
      </c>
      <c r="F8" s="25"/>
      <c r="G8" s="25">
        <v>7.034557729E9</v>
      </c>
      <c r="H8" s="25" t="s">
        <v>39</v>
      </c>
      <c r="I8" s="27">
        <v>1.0</v>
      </c>
      <c r="J8" s="27">
        <v>1.0</v>
      </c>
      <c r="K8" s="27">
        <v>1.0</v>
      </c>
      <c r="L8" s="27">
        <v>0.0</v>
      </c>
      <c r="M8" s="27">
        <v>1.0</v>
      </c>
      <c r="N8" s="28">
        <f t="shared" si="1"/>
        <v>4</v>
      </c>
      <c r="O8" s="29" t="str">
        <f t="shared" si="2"/>
        <v>Qualified</v>
      </c>
      <c r="P8" s="30">
        <v>3.3</v>
      </c>
      <c r="Q8" s="30" t="s">
        <v>40</v>
      </c>
      <c r="R8" s="28"/>
      <c r="S8" s="28"/>
      <c r="T8" s="28"/>
      <c r="U8" s="28"/>
      <c r="V8" s="28"/>
      <c r="W8" s="31"/>
      <c r="X8" s="31"/>
      <c r="Y8" s="32"/>
    </row>
    <row r="9">
      <c r="A9" s="13">
        <v>3.0</v>
      </c>
      <c r="B9" s="13" t="s">
        <v>41</v>
      </c>
      <c r="C9" s="13" t="s">
        <v>42</v>
      </c>
      <c r="D9" s="13" t="s">
        <v>30</v>
      </c>
      <c r="E9" s="14" t="s">
        <v>43</v>
      </c>
      <c r="F9" s="33" t="s">
        <v>44</v>
      </c>
      <c r="G9" s="13" t="s">
        <v>39</v>
      </c>
      <c r="H9" s="15" t="s">
        <v>45</v>
      </c>
      <c r="I9" s="34">
        <v>0.0</v>
      </c>
      <c r="J9" s="17">
        <v>1.0</v>
      </c>
      <c r="K9" s="17">
        <v>1.0</v>
      </c>
      <c r="L9" s="17">
        <v>1.0</v>
      </c>
      <c r="M9" s="17">
        <v>0.0</v>
      </c>
      <c r="N9" s="35">
        <f t="shared" si="1"/>
        <v>3</v>
      </c>
      <c r="O9" s="19" t="str">
        <f>IF(N8&gt;=3,"Qualified",IF(N8&gt;=1,"Low Probability","Skip"))</f>
        <v>Qualified</v>
      </c>
      <c r="P9" s="20">
        <v>3.3</v>
      </c>
      <c r="Q9" s="20" t="s">
        <v>46</v>
      </c>
      <c r="R9" s="21"/>
      <c r="S9" s="21"/>
      <c r="T9" s="21"/>
      <c r="U9" s="21"/>
      <c r="V9" s="21"/>
      <c r="W9" s="22"/>
      <c r="X9" s="23"/>
      <c r="Y9" s="24"/>
    </row>
    <row r="10">
      <c r="A10" s="25">
        <v>4.0</v>
      </c>
      <c r="B10" s="25" t="s">
        <v>47</v>
      </c>
      <c r="C10" s="25" t="s">
        <v>48</v>
      </c>
      <c r="D10" s="25" t="s">
        <v>30</v>
      </c>
      <c r="E10" s="26" t="s">
        <v>49</v>
      </c>
      <c r="F10" s="36" t="s">
        <v>50</v>
      </c>
      <c r="G10" s="25">
        <v>2.024924641E9</v>
      </c>
      <c r="H10" s="37" t="s">
        <v>51</v>
      </c>
      <c r="I10" s="38">
        <v>1.0</v>
      </c>
      <c r="J10" s="27">
        <v>1.0</v>
      </c>
      <c r="K10" s="27">
        <v>1.0</v>
      </c>
      <c r="L10" s="27">
        <v>0.0</v>
      </c>
      <c r="M10" s="27">
        <v>0.0</v>
      </c>
      <c r="N10" s="28">
        <f t="shared" si="1"/>
        <v>3</v>
      </c>
      <c r="O10" s="31" t="str">
        <f t="shared" ref="O10:O15" si="3">IF(N10&gt;=3,"Qualified",IF(N10&gt;=1,"Low Probability","Skip"))</f>
        <v>Qualified</v>
      </c>
      <c r="P10" s="30">
        <v>3.3</v>
      </c>
      <c r="Q10" s="30" t="s">
        <v>52</v>
      </c>
      <c r="R10" s="28"/>
      <c r="S10" s="28"/>
      <c r="T10" s="28"/>
      <c r="U10" s="28"/>
      <c r="V10" s="28"/>
      <c r="W10" s="31"/>
      <c r="X10" s="31"/>
      <c r="Y10" s="32"/>
    </row>
    <row r="11">
      <c r="A11" s="13">
        <v>5.0</v>
      </c>
      <c r="B11" s="13" t="s">
        <v>53</v>
      </c>
      <c r="C11" s="13" t="s">
        <v>54</v>
      </c>
      <c r="D11" s="13" t="s">
        <v>30</v>
      </c>
      <c r="E11" s="14" t="s">
        <v>55</v>
      </c>
      <c r="F11" s="13" t="s">
        <v>56</v>
      </c>
      <c r="G11" s="13">
        <v>7.039412312E9</v>
      </c>
      <c r="H11" s="15" t="s">
        <v>57</v>
      </c>
      <c r="I11" s="34">
        <v>0.0</v>
      </c>
      <c r="J11" s="17">
        <v>1.0</v>
      </c>
      <c r="K11" s="17">
        <v>0.0</v>
      </c>
      <c r="L11" s="17">
        <v>1.0</v>
      </c>
      <c r="M11" s="17">
        <v>1.0</v>
      </c>
      <c r="N11" s="35">
        <f t="shared" si="1"/>
        <v>3</v>
      </c>
      <c r="O11" s="19" t="str">
        <f t="shared" si="3"/>
        <v>Qualified</v>
      </c>
      <c r="P11" s="20">
        <v>3.3</v>
      </c>
      <c r="Q11" s="20" t="s">
        <v>58</v>
      </c>
      <c r="R11" s="21"/>
      <c r="S11" s="21"/>
      <c r="T11" s="21"/>
      <c r="U11" s="21"/>
      <c r="V11" s="21"/>
      <c r="W11" s="22"/>
      <c r="X11" s="23"/>
      <c r="Y11" s="24"/>
    </row>
    <row r="12">
      <c r="A12" s="25">
        <v>6.0</v>
      </c>
      <c r="B12" s="25" t="s">
        <v>59</v>
      </c>
      <c r="C12" s="25" t="s">
        <v>60</v>
      </c>
      <c r="D12" s="25" t="s">
        <v>61</v>
      </c>
      <c r="E12" s="39" t="s">
        <v>62</v>
      </c>
      <c r="F12" s="39" t="s">
        <v>63</v>
      </c>
      <c r="G12" s="25">
        <v>2.025431926E9</v>
      </c>
      <c r="H12" s="40" t="s">
        <v>64</v>
      </c>
      <c r="I12" s="41">
        <v>1.0</v>
      </c>
      <c r="J12" s="27">
        <v>1.0</v>
      </c>
      <c r="K12" s="27">
        <v>1.0</v>
      </c>
      <c r="L12" s="27">
        <v>1.0</v>
      </c>
      <c r="M12" s="27">
        <v>0.0</v>
      </c>
      <c r="N12" s="28">
        <f t="shared" si="1"/>
        <v>4</v>
      </c>
      <c r="O12" s="31" t="str">
        <f t="shared" si="3"/>
        <v>Qualified</v>
      </c>
      <c r="P12" s="30">
        <v>3.3</v>
      </c>
      <c r="Q12" s="30" t="s">
        <v>65</v>
      </c>
      <c r="R12" s="28"/>
      <c r="S12" s="28"/>
      <c r="T12" s="30">
        <v>1.0</v>
      </c>
      <c r="U12" s="30">
        <v>1.0</v>
      </c>
      <c r="V12" s="30">
        <v>1.0</v>
      </c>
      <c r="W12" s="29">
        <v>3.5</v>
      </c>
      <c r="X12" s="31"/>
      <c r="Y12" s="32"/>
    </row>
    <row r="13">
      <c r="A13" s="13">
        <v>7.0</v>
      </c>
      <c r="B13" s="13" t="s">
        <v>66</v>
      </c>
      <c r="C13" s="13" t="s">
        <v>67</v>
      </c>
      <c r="D13" s="13" t="s">
        <v>61</v>
      </c>
      <c r="E13" s="42" t="s">
        <v>68</v>
      </c>
      <c r="F13" s="13" t="s">
        <v>69</v>
      </c>
      <c r="G13" s="13">
        <v>2.029328819E9</v>
      </c>
      <c r="H13" s="15" t="s">
        <v>70</v>
      </c>
      <c r="I13" s="17">
        <v>0.0</v>
      </c>
      <c r="J13" s="17">
        <v>1.0</v>
      </c>
      <c r="K13" s="17">
        <v>1.0</v>
      </c>
      <c r="L13" s="17">
        <v>1.0</v>
      </c>
      <c r="M13" s="17">
        <v>1.0</v>
      </c>
      <c r="N13" s="35">
        <f t="shared" si="1"/>
        <v>4</v>
      </c>
      <c r="O13" s="43" t="str">
        <f t="shared" si="3"/>
        <v>Qualified</v>
      </c>
      <c r="P13" s="20">
        <v>3.3</v>
      </c>
      <c r="Q13" s="20" t="s">
        <v>71</v>
      </c>
      <c r="R13" s="21"/>
      <c r="S13" s="21"/>
      <c r="T13" s="20">
        <v>1.0</v>
      </c>
      <c r="U13" s="20">
        <v>1.0</v>
      </c>
      <c r="V13" s="21"/>
      <c r="W13" s="22"/>
      <c r="X13" s="23"/>
      <c r="Y13" s="24"/>
    </row>
    <row r="14">
      <c r="A14" s="25">
        <v>8.0</v>
      </c>
      <c r="B14" s="25" t="s">
        <v>72</v>
      </c>
      <c r="C14" s="25" t="s">
        <v>73</v>
      </c>
      <c r="D14" s="25" t="s">
        <v>61</v>
      </c>
      <c r="E14" s="26" t="s">
        <v>74</v>
      </c>
      <c r="F14" s="25" t="s">
        <v>39</v>
      </c>
      <c r="G14" s="25">
        <v>4.04231708E9</v>
      </c>
      <c r="H14" s="40" t="s">
        <v>75</v>
      </c>
      <c r="I14" s="27">
        <v>0.0</v>
      </c>
      <c r="J14" s="27">
        <v>1.0</v>
      </c>
      <c r="K14" s="27">
        <v>1.0</v>
      </c>
      <c r="L14" s="27">
        <v>1.0</v>
      </c>
      <c r="M14" s="27">
        <v>1.0</v>
      </c>
      <c r="N14" s="28">
        <f t="shared" si="1"/>
        <v>4</v>
      </c>
      <c r="O14" s="29" t="str">
        <f t="shared" si="3"/>
        <v>Qualified</v>
      </c>
      <c r="P14" s="30">
        <v>3.3</v>
      </c>
      <c r="Q14" s="30" t="s">
        <v>76</v>
      </c>
      <c r="R14" s="28"/>
      <c r="S14" s="28"/>
      <c r="T14" s="28"/>
      <c r="U14" s="28"/>
      <c r="V14" s="28"/>
      <c r="W14" s="31"/>
      <c r="X14" s="31"/>
      <c r="Y14" s="32"/>
    </row>
    <row r="15">
      <c r="A15" s="13">
        <v>9.0</v>
      </c>
      <c r="B15" s="13" t="s">
        <v>77</v>
      </c>
      <c r="C15" s="13" t="s">
        <v>78</v>
      </c>
      <c r="D15" s="13" t="s">
        <v>61</v>
      </c>
      <c r="E15" s="14" t="s">
        <v>79</v>
      </c>
      <c r="F15" s="44" t="s">
        <v>80</v>
      </c>
      <c r="G15" s="13">
        <v>2.026387373E9</v>
      </c>
      <c r="H15" s="15" t="s">
        <v>81</v>
      </c>
      <c r="I15" s="17">
        <v>1.0</v>
      </c>
      <c r="J15" s="17">
        <v>1.0</v>
      </c>
      <c r="K15" s="17">
        <v>1.0</v>
      </c>
      <c r="L15" s="17">
        <v>1.0</v>
      </c>
      <c r="M15" s="17">
        <v>0.0</v>
      </c>
      <c r="N15" s="35">
        <f t="shared" si="1"/>
        <v>4</v>
      </c>
      <c r="O15" s="19" t="str">
        <f t="shared" si="3"/>
        <v>Qualified</v>
      </c>
      <c r="P15" s="20">
        <v>3.3</v>
      </c>
      <c r="Q15" s="20" t="s">
        <v>82</v>
      </c>
      <c r="R15" s="21"/>
      <c r="S15" s="21"/>
      <c r="T15" s="21"/>
      <c r="U15" s="21"/>
      <c r="V15" s="21"/>
      <c r="W15" s="22"/>
      <c r="X15" s="23"/>
      <c r="Y15" s="24"/>
    </row>
    <row r="16">
      <c r="A16" s="25">
        <v>10.0</v>
      </c>
      <c r="B16" s="25" t="s">
        <v>83</v>
      </c>
      <c r="C16" s="25" t="s">
        <v>84</v>
      </c>
      <c r="D16" s="25" t="s">
        <v>61</v>
      </c>
      <c r="E16" s="37" t="s">
        <v>85</v>
      </c>
      <c r="F16" s="39" t="s">
        <v>86</v>
      </c>
      <c r="G16" s="25" t="s">
        <v>39</v>
      </c>
      <c r="H16" s="40" t="s">
        <v>87</v>
      </c>
      <c r="I16" s="27">
        <v>1.0</v>
      </c>
      <c r="J16" s="27">
        <v>1.0</v>
      </c>
      <c r="K16" s="27">
        <v>1.0</v>
      </c>
      <c r="L16" s="27">
        <v>1.0</v>
      </c>
      <c r="M16" s="27">
        <v>0.0</v>
      </c>
      <c r="N16" s="28">
        <f t="shared" si="1"/>
        <v>4</v>
      </c>
      <c r="O16" s="31" t="str">
        <f>IF(N15&gt;=3,"Qualified",IF(N15&gt;=1,"Low Probability","Skip"))</f>
        <v>Qualified</v>
      </c>
      <c r="P16" s="30">
        <v>3.3</v>
      </c>
      <c r="Q16" s="30" t="s">
        <v>71</v>
      </c>
      <c r="R16" s="28"/>
      <c r="S16" s="28"/>
      <c r="T16" s="28"/>
      <c r="U16" s="28"/>
      <c r="V16" s="28"/>
      <c r="W16" s="31"/>
      <c r="X16" s="31"/>
      <c r="Y16" s="32"/>
    </row>
    <row r="17">
      <c r="A17" s="45"/>
      <c r="B17" s="13"/>
      <c r="C17" s="46"/>
      <c r="D17" s="13"/>
      <c r="E17" s="13"/>
      <c r="F17" s="46"/>
      <c r="G17" s="46"/>
      <c r="H17" s="46"/>
      <c r="I17" s="47"/>
      <c r="J17" s="47"/>
      <c r="K17" s="47"/>
      <c r="L17" s="47"/>
      <c r="M17" s="47"/>
      <c r="N17" s="47"/>
      <c r="O17" s="47"/>
      <c r="P17" s="48" t="s">
        <v>88</v>
      </c>
      <c r="Q17" s="48" t="s">
        <v>89</v>
      </c>
      <c r="R17" s="49"/>
      <c r="S17" s="49"/>
      <c r="T17" s="49"/>
      <c r="U17" s="49"/>
      <c r="V17" s="49"/>
      <c r="W17" s="49"/>
      <c r="X17" s="50"/>
      <c r="Y17" s="50"/>
      <c r="Z17" s="51"/>
      <c r="AA17" s="51"/>
      <c r="AB17" s="51"/>
      <c r="AC17" s="51"/>
      <c r="AD17" s="51"/>
      <c r="AE17" s="51"/>
    </row>
    <row r="18">
      <c r="A18" s="45">
        <v>11.0</v>
      </c>
      <c r="B18" s="13" t="s">
        <v>90</v>
      </c>
      <c r="C18" s="46"/>
      <c r="D18" s="13" t="s">
        <v>61</v>
      </c>
      <c r="E18" s="14" t="s">
        <v>91</v>
      </c>
      <c r="F18" s="46"/>
      <c r="G18" s="46"/>
      <c r="H18" s="46"/>
      <c r="I18" s="47"/>
      <c r="J18" s="47"/>
      <c r="K18" s="47"/>
      <c r="L18" s="47"/>
      <c r="M18" s="47"/>
      <c r="N18" s="47"/>
      <c r="O18" s="47"/>
      <c r="P18" s="48" t="s">
        <v>92</v>
      </c>
      <c r="Q18" s="48" t="s">
        <v>93</v>
      </c>
      <c r="R18" s="49"/>
      <c r="S18" s="49"/>
      <c r="T18" s="49"/>
      <c r="U18" s="49"/>
      <c r="V18" s="49"/>
      <c r="W18" s="49"/>
      <c r="X18" s="50">
        <v>1.0</v>
      </c>
      <c r="Y18" s="50">
        <v>1.0</v>
      </c>
      <c r="Z18" s="51"/>
      <c r="AA18" s="51"/>
      <c r="AB18" s="51"/>
      <c r="AC18" s="51"/>
      <c r="AD18" s="51"/>
      <c r="AE18" s="51"/>
    </row>
    <row r="19">
      <c r="A19" s="29">
        <v>12.0</v>
      </c>
      <c r="B19" s="25" t="s">
        <v>94</v>
      </c>
      <c r="C19" s="32"/>
      <c r="D19" s="25" t="s">
        <v>61</v>
      </c>
      <c r="E19" s="37" t="s">
        <v>95</v>
      </c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25">
        <v>1.0</v>
      </c>
      <c r="Y19" s="25">
        <v>1.0</v>
      </c>
      <c r="Z19" s="51"/>
      <c r="AA19" s="51"/>
      <c r="AB19" s="51"/>
      <c r="AC19" s="51"/>
      <c r="AD19" s="51"/>
      <c r="AE19" s="51"/>
    </row>
    <row r="20">
      <c r="A20" s="29">
        <v>13.0</v>
      </c>
      <c r="B20" s="13" t="s">
        <v>96</v>
      </c>
      <c r="C20" s="46"/>
      <c r="D20" s="13" t="s">
        <v>61</v>
      </c>
      <c r="E20" s="42" t="s">
        <v>97</v>
      </c>
      <c r="F20" s="46"/>
      <c r="G20" s="46"/>
      <c r="H20" s="46"/>
      <c r="I20" s="47"/>
      <c r="J20" s="47"/>
      <c r="K20" s="47"/>
      <c r="L20" s="47"/>
      <c r="M20" s="47"/>
      <c r="N20" s="47"/>
      <c r="O20" s="47"/>
      <c r="P20" s="49"/>
      <c r="Q20" s="49"/>
      <c r="R20" s="49"/>
      <c r="S20" s="49"/>
      <c r="T20" s="49"/>
      <c r="U20" s="52">
        <v>1.0</v>
      </c>
      <c r="V20" s="52">
        <v>1.0</v>
      </c>
      <c r="W20" s="52"/>
      <c r="X20" s="50">
        <v>1.0</v>
      </c>
      <c r="Y20" s="50">
        <v>1.0</v>
      </c>
      <c r="Z20" s="51"/>
      <c r="AA20" s="51"/>
      <c r="AB20" s="51"/>
      <c r="AC20" s="51"/>
      <c r="AD20" s="51"/>
      <c r="AE20" s="51"/>
    </row>
    <row r="21">
      <c r="A21" s="29">
        <v>14.0</v>
      </c>
      <c r="B21" s="25" t="s">
        <v>98</v>
      </c>
      <c r="C21" s="32"/>
      <c r="D21" s="25" t="s">
        <v>61</v>
      </c>
      <c r="E21" s="37" t="s">
        <v>99</v>
      </c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25">
        <v>1.0</v>
      </c>
      <c r="Y21" s="25">
        <v>1.0</v>
      </c>
      <c r="Z21" s="51"/>
      <c r="AA21" s="51"/>
      <c r="AB21" s="51"/>
      <c r="AC21" s="51"/>
      <c r="AD21" s="51"/>
      <c r="AE21" s="51"/>
    </row>
    <row r="22">
      <c r="A22" s="29">
        <v>15.0</v>
      </c>
      <c r="B22" s="13" t="s">
        <v>100</v>
      </c>
      <c r="C22" s="46"/>
      <c r="D22" s="13" t="s">
        <v>61</v>
      </c>
      <c r="E22" s="42" t="s">
        <v>101</v>
      </c>
      <c r="F22" s="46"/>
      <c r="G22" s="46"/>
      <c r="H22" s="46"/>
      <c r="I22" s="47"/>
      <c r="J22" s="47"/>
      <c r="K22" s="47"/>
      <c r="L22" s="47"/>
      <c r="M22" s="47"/>
      <c r="N22" s="47"/>
      <c r="O22" s="47"/>
      <c r="P22" s="49"/>
      <c r="Q22" s="49"/>
      <c r="R22" s="49"/>
      <c r="S22" s="49"/>
      <c r="T22" s="49"/>
      <c r="U22" s="49"/>
      <c r="V22" s="49"/>
      <c r="W22" s="49"/>
      <c r="X22" s="50">
        <v>1.0</v>
      </c>
      <c r="Y22" s="50">
        <v>1.0</v>
      </c>
      <c r="Z22" s="51"/>
      <c r="AA22" s="51"/>
      <c r="AB22" s="51"/>
      <c r="AC22" s="51"/>
      <c r="AD22" s="51"/>
      <c r="AE22" s="51"/>
    </row>
    <row r="24">
      <c r="A24" s="53"/>
    </row>
    <row r="25">
      <c r="A25" s="53"/>
    </row>
  </sheetData>
  <hyperlinks>
    <hyperlink r:id="rId1" location="connect" ref="E7"/>
    <hyperlink r:id="rId2" ref="H7"/>
    <hyperlink r:id="rId3" ref="E8"/>
    <hyperlink r:id="rId4" ref="E9"/>
    <hyperlink r:id="rId5" ref="F9"/>
    <hyperlink r:id="rId6" ref="H9"/>
    <hyperlink r:id="rId7" ref="E10"/>
    <hyperlink r:id="rId8" ref="F10"/>
    <hyperlink r:id="rId9" ref="H10"/>
    <hyperlink r:id="rId10" ref="E11"/>
    <hyperlink r:id="rId11" ref="H11"/>
    <hyperlink r:id="rId12" ref="E12"/>
    <hyperlink r:id="rId13" ref="F12"/>
    <hyperlink r:id="rId14" ref="H12"/>
    <hyperlink r:id="rId15" ref="E13"/>
    <hyperlink r:id="rId16" ref="H13"/>
    <hyperlink r:id="rId17" ref="E14"/>
    <hyperlink r:id="rId18" ref="H14"/>
    <hyperlink r:id="rId19" ref="E15"/>
    <hyperlink r:id="rId20" ref="F15"/>
    <hyperlink r:id="rId21" ref="H15"/>
    <hyperlink r:id="rId22" ref="E16"/>
    <hyperlink r:id="rId23" ref="F16"/>
    <hyperlink r:id="rId24" ref="H16"/>
    <hyperlink r:id="rId25" ref="E18"/>
    <hyperlink r:id="rId26" ref="E19"/>
    <hyperlink r:id="rId27" ref="E20"/>
    <hyperlink r:id="rId28" ref="E21"/>
    <hyperlink r:id="rId29" ref="E22"/>
  </hyperlinks>
  <drawing r:id="rId30"/>
</worksheet>
</file>